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zwig\Desktop\Excel Czas pracy\"/>
    </mc:Choice>
  </mc:AlternateContent>
  <xr:revisionPtr revIDLastSave="0" documentId="13_ncr:1_{F2E490D0-7634-466E-99A8-3FCD7F8785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Zadania Użytkownika" sheetId="1" r:id="rId1"/>
    <sheet name="Poprzedni Miesiąc" sheetId="2" r:id="rId2"/>
    <sheet name="Dane Bazow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2" i="3" s="1"/>
  <c r="A15" i="3"/>
  <c r="E11" i="1"/>
  <c r="E6" i="1"/>
  <c r="B3" i="3" l="1"/>
</calcChain>
</file>

<file path=xl/sharedStrings.xml><?xml version="1.0" encoding="utf-8"?>
<sst xmlns="http://schemas.openxmlformats.org/spreadsheetml/2006/main" count="241" uniqueCount="45">
  <si>
    <t>Pracownik</t>
  </si>
  <si>
    <t>Dzień</t>
  </si>
  <si>
    <t>Zadanie</t>
  </si>
  <si>
    <t>Godzina Start</t>
  </si>
  <si>
    <t>Godzina Koniec</t>
  </si>
  <si>
    <t>Klient</t>
  </si>
  <si>
    <t>Firma</t>
  </si>
  <si>
    <t>Spola Z o o</t>
  </si>
  <si>
    <t>Jakas Firma S A</t>
  </si>
  <si>
    <t>PPHU FRANEK OD FIRANEK</t>
  </si>
  <si>
    <t>Czas Trwania</t>
  </si>
  <si>
    <t>Temat Maila</t>
  </si>
  <si>
    <t>Treść maila</t>
  </si>
  <si>
    <t>Adresat</t>
  </si>
  <si>
    <t>Miesiąc</t>
  </si>
  <si>
    <t>Poza Ryczałtem</t>
  </si>
  <si>
    <t>Tak</t>
  </si>
  <si>
    <t>Nie</t>
  </si>
  <si>
    <t>TU WPISZ ZADANIE'</t>
  </si>
  <si>
    <t>Medical co tam</t>
  </si>
  <si>
    <t>Fabryka Mebli</t>
  </si>
  <si>
    <t>Pan Budowlaniec</t>
  </si>
  <si>
    <t>Miesiąć</t>
  </si>
  <si>
    <t>miesiące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</si>
  <si>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</si>
  <si>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</si>
  <si>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</si>
  <si>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</si>
  <si>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</si>
  <si>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</si>
  <si>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</si>
  <si>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</si>
  <si>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</si>
  <si>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</si>
  <si>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</si>
  <si>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Andrzej Grabowski</t>
  </si>
  <si>
    <t>Krzysztof Jarzyna</t>
  </si>
  <si>
    <t>Beata Kozidrak</t>
  </si>
  <si>
    <t>adres@domena.pl</t>
  </si>
  <si>
    <t>Katarzyna Cichopek</t>
  </si>
  <si>
    <t>Tomasz Karolak</t>
  </si>
  <si>
    <t>Mateusz Damięcki</t>
  </si>
  <si>
    <t>Ewelina Lisowska</t>
  </si>
  <si>
    <t>Firma1</t>
  </si>
  <si>
    <t>FIrma2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</si>
</sst>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$-415]d\ mmmm\ yyyy;@"/>
    <numFmt numFmtId="166" formatCode="[$-F400]h:mm:ss\ AM/PM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1"/>
    <xf numFmtId="165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166" fontId="2" fillId="2" borderId="2" xfId="0" applyNumberFormat="1" applyFont="1" applyFill="1" applyBorder="1"/>
    <xf numFmtId="0" fontId="2" fillId="2" borderId="3" xfId="0" applyFont="1" applyFill="1" applyBorder="1"/>
    <xf numFmtId="0" fontId="0" fillId="0" borderId="0" xfId="0" quotePrefix="1"/>
    <xf numFmtId="0" fontId="0" fillId="0" borderId="4" xfId="0" applyBorder="1"/>
    <xf numFmtId="166" fontId="0" fillId="0" borderId="4" xfId="0" applyNumberFormat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8</xdr:row>
          <xdr:rowOff>7620</xdr:rowOff>
        </xdr:from>
        <xdr:to>
          <xdr:col>7</xdr:col>
          <xdr:colOff>91440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137160</xdr:rowOff>
        </xdr:from>
        <xdr:to>
          <xdr:col>11</xdr:col>
          <xdr:colOff>106680</xdr:colOff>
          <xdr:row>5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Wyślij Raport Godzinowy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7</xdr:row>
          <xdr:rowOff>38100</xdr:rowOff>
        </xdr:from>
        <xdr:to>
          <xdr:col>11</xdr:col>
          <xdr:colOff>563880</xdr:colOff>
          <xdr:row>12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Rozpocznij nowy miesiąc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5299C5-DC25-4612-AA48-1B91E88E8D10}" name="tabPracownik" displayName="tabPracownik" ref="C2:C9" totalsRowShown="0">
  <autoFilter ref="C2:C9" xr:uid="{5B5299C5-DC25-4612-AA48-1B91E88E8D10}"/>
  <tableColumns count="1">
    <tableColumn id="1" xr3:uid="{17C2C2B8-3FC3-4FB6-B90A-49043F298B54}" name="Pracowni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F86079-F2A2-4315-B854-EA1F828F3AB0}" name="tabKlient" displayName="tabKlient" ref="E2:E8" totalsRowShown="0">
  <autoFilter ref="E2:E8" xr:uid="{6EF86079-F2A2-4315-B854-EA1F828F3AB0}"/>
  <tableColumns count="1">
    <tableColumn id="1" xr3:uid="{3A258FA8-1C7C-4AB5-AE48-79C610FF2CBD}" name="Kli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254EFB-DD35-4969-BF09-F1885F8F3E9F}" name="tabFirma" displayName="tabFirma" ref="D2:D4" totalsRowShown="0">
  <autoFilter ref="D2:D4" xr:uid="{F2254EFB-DD35-4969-BF09-F1885F8F3E9F}"/>
  <tableColumns count="1">
    <tableColumn id="1" xr3:uid="{08191FBB-493E-4248-9BF7-BE6D7BAB7A87}" name="Fir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7E030A-6281-439D-AF01-C963D8EABB07}" name="tabmsc" displayName="tabmsc" ref="A14:A26" totalsRowShown="0">
  <autoFilter ref="A14:A26" xr:uid="{FE7E030A-6281-439D-AF01-C963D8EABB07}"/>
  <tableColumns count="1">
    <tableColumn id="1" xr3:uid="{5814A386-3805-4B09-96AF-B5AA04C0FED6}" name="miesią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adres@domena.pl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4:L288"/>
  <sheetViews>
    <sheetView tabSelected="1" workbookViewId="0">
      <selection activeCell="F6" sqref="F6"/>
    </sheetView>
  </sheetViews>
  <sheetFormatPr defaultRowHeight="14.4" x14ac:dyDescent="0.3"/>
  <cols>
    <col min="1" max="1" width="13.33203125" customWidth="1"/>
    <col min="3" max="3" width="17.109375" customWidth="1"/>
    <col min="4" max="4" width="16.44140625" customWidth="1"/>
    <col min="5" max="5" width="32.5546875" customWidth="1"/>
    <col min="6" max="6" width="16" customWidth="1"/>
    <col min="7" max="7" width="17.77734375" customWidth="1"/>
    <col min="8" max="8" width="13.88671875" customWidth="1"/>
    <col min="9" max="9" width="15.77734375" customWidth="1"/>
    <col min="10" max="10" width="13.88671875" customWidth="1"/>
    <col min="11" max="11" width="10.88671875" customWidth="1"/>
    <col min="12" max="12" width="16" customWidth="1"/>
  </cols>
  <sheetData>
    <row r="4" spans="3:12" x14ac:dyDescent="0.3">
      <c r="C4" t="s">
        <v>22</v>
      </c>
      <c r="E4" t="s">
        <v>27</v>
      </c>
    </row>
    <row r="5" spans="3:12" x14ac:dyDescent="0.3">
      <c r="C5" t="s">
        <v>0</v>
      </c>
      <c r="E5" t="s">
        <v>40</v>
      </c>
    </row>
    <row r="6" spans="3:12" x14ac:dyDescent="0.3">
      <c r="C6" t="s">
        <v>1</v>
      </c>
      <c r="E6" s="1">
        <f ca="1">TODAY()</f>
        <v>45059</v>
      </c>
    </row>
    <row r="7" spans="3:12" x14ac:dyDescent="0.3">
      <c r="C7" t="s">
        <v>3</v>
      </c>
      <c r="E7" s="2">
        <v>0.45833333333333331</v>
      </c>
    </row>
    <row r="8" spans="3:12" x14ac:dyDescent="0.3">
      <c r="C8" t="s">
        <v>4</v>
      </c>
      <c r="E8" s="2">
        <v>0.54166666666666663</v>
      </c>
    </row>
    <row r="9" spans="3:12" ht="31.8" customHeight="1" x14ac:dyDescent="0.3">
      <c r="C9" t="s">
        <v>2</v>
      </c>
      <c r="E9" s="9" t="s">
        <v>18</v>
      </c>
    </row>
    <row r="10" spans="3:12" x14ac:dyDescent="0.3">
      <c r="C10" t="s">
        <v>5</v>
      </c>
      <c r="E10" t="s">
        <v>7</v>
      </c>
    </row>
    <row r="11" spans="3:12" x14ac:dyDescent="0.3">
      <c r="C11" t="s">
        <v>10</v>
      </c>
      <c r="E11" s="2">
        <f>E8-E7</f>
        <v>8.3333333333333315E-2</v>
      </c>
    </row>
    <row r="12" spans="3:12" x14ac:dyDescent="0.3">
      <c r="C12" t="s">
        <v>6</v>
      </c>
      <c r="E12" t="s">
        <v>44</v>
      </c>
    </row>
    <row r="13" spans="3:12" x14ac:dyDescent="0.3">
      <c r="C13" t="s">
        <v>15</v>
      </c>
      <c r="E13" t="s">
        <v>17</v>
      </c>
    </row>
    <row r="15" spans="3:12" x14ac:dyDescent="0.3">
      <c r="E15" s="1"/>
      <c r="F15" s="2"/>
      <c r="G15" s="2"/>
      <c r="J15" s="2"/>
    </row>
    <row r="16" spans="3:12" x14ac:dyDescent="0.3">
      <c r="D16" s="10" t="s">
        <v>0</v>
      </c>
      <c r="E16" s="10" t="s">
        <v>1</v>
      </c>
      <c r="F16" s="10" t="s">
        <v>3</v>
      </c>
      <c r="G16" s="10" t="s">
        <v>4</v>
      </c>
      <c r="H16" s="10" t="s">
        <v>2</v>
      </c>
      <c r="I16" s="10" t="s">
        <v>5</v>
      </c>
      <c r="J16" s="11" t="s">
        <v>10</v>
      </c>
      <c r="K16" s="10" t="s">
        <v>6</v>
      </c>
      <c r="L16" s="10" t="s">
        <v>15</v>
      </c>
    </row>
    <row r="17" spans="4:12" x14ac:dyDescent="0.3">
      <c r="D17" t="s">
        <v>42</v>
      </c>
      <c r="E17" s="1">
        <v>45059</v>
      </c>
      <c r="F17" s="2">
        <v>0.45833333333333331</v>
      </c>
      <c r="G17" s="2">
        <v>0.54166666666666663</v>
      </c>
      <c r="H17" t="s">
        <v>18</v>
      </c>
      <c r="I17" t="s">
        <v>9</v>
      </c>
      <c r="J17" s="2">
        <v>8.3333333333333315E-2</v>
      </c>
      <c r="K17" t="s">
        <v>43</v>
      </c>
      <c r="L17" t="s">
        <v>17</v>
      </c>
    </row>
    <row r="18" spans="4:12" x14ac:dyDescent="0.3">
      <c r="D18" t="s">
        <v>42</v>
      </c>
      <c r="E18" s="1">
        <v>45059</v>
      </c>
      <c r="F18" s="2">
        <v>0.45833333333333331</v>
      </c>
      <c r="G18" s="2">
        <v>0.54166666666666663</v>
      </c>
      <c r="H18" t="s">
        <v>18</v>
      </c>
      <c r="I18" t="s">
        <v>9</v>
      </c>
      <c r="J18" s="2">
        <v>8.3333333333333315E-2</v>
      </c>
      <c r="K18" t="s">
        <v>43</v>
      </c>
      <c r="L18" t="s">
        <v>17</v>
      </c>
    </row>
    <row r="19" spans="4:12" x14ac:dyDescent="0.3">
      <c r="D19" t="s">
        <v>40</v>
      </c>
      <c r="E19" s="1">
        <v>45059</v>
      </c>
      <c r="F19" s="2">
        <v>0.45833333333333331</v>
      </c>
      <c r="G19" s="2">
        <v>0.54166666666666663</v>
      </c>
      <c r="H19" t="s">
        <v>18</v>
      </c>
      <c r="I19" t="s">
        <v>9</v>
      </c>
      <c r="J19" s="2">
        <v>8.3333333333333315E-2</v>
      </c>
      <c r="K19" t="s">
        <v>43</v>
      </c>
      <c r="L19" t="s">
        <v>17</v>
      </c>
    </row>
    <row r="20" spans="4:12" x14ac:dyDescent="0.3">
      <c r="D20" t="s">
        <v>40</v>
      </c>
      <c r="E20" s="1">
        <v>45059</v>
      </c>
      <c r="F20" s="2">
        <v>0.45833333333333331</v>
      </c>
      <c r="G20" s="2">
        <v>0.54166666666666663</v>
      </c>
      <c r="H20" t="s">
        <v>18</v>
      </c>
      <c r="I20" t="s">
        <v>9</v>
      </c>
      <c r="J20" s="2">
        <v>8.3333333333333315E-2</v>
      </c>
      <c r="K20" t="s">
        <v>43</v>
      </c>
      <c r="L20" t="s">
        <v>17</v>
      </c>
    </row>
    <row r="21" spans="4:12" x14ac:dyDescent="0.3">
      <c r="D21" t="s">
        <v>40</v>
      </c>
      <c r="E21" s="1">
        <v>45059</v>
      </c>
      <c r="F21" s="2">
        <v>0.45833333333333331</v>
      </c>
      <c r="G21" s="2">
        <v>0.54166666666666663</v>
      </c>
      <c r="H21" t="s">
        <v>18</v>
      </c>
      <c r="I21" t="s">
        <v>19</v>
      </c>
      <c r="J21" s="2">
        <v>8.3333333333333315E-2</v>
      </c>
      <c r="K21" t="s">
        <v>43</v>
      </c>
      <c r="L21" t="s">
        <v>17</v>
      </c>
    </row>
    <row r="22" spans="4:12" x14ac:dyDescent="0.3">
      <c r="D22" t="s">
        <v>40</v>
      </c>
      <c r="E22" s="1">
        <v>45059</v>
      </c>
      <c r="F22" s="2">
        <v>0.45833333333333331</v>
      </c>
      <c r="G22" s="2">
        <v>0.54166666666666663</v>
      </c>
      <c r="H22" t="s">
        <v>18</v>
      </c>
      <c r="I22" t="s">
        <v>19</v>
      </c>
      <c r="J22" s="2">
        <v>8.3333333333333315E-2</v>
      </c>
      <c r="K22" t="s">
        <v>43</v>
      </c>
      <c r="L22" t="s">
        <v>17</v>
      </c>
    </row>
    <row r="23" spans="4:12" x14ac:dyDescent="0.3">
      <c r="D23" t="s">
        <v>36</v>
      </c>
      <c r="E23" s="1">
        <v>45059</v>
      </c>
      <c r="F23" s="2">
        <v>0.45833333333333331</v>
      </c>
      <c r="G23" s="2">
        <v>0.54166666666666663</v>
      </c>
      <c r="H23" t="s">
        <v>18</v>
      </c>
      <c r="I23" t="s">
        <v>19</v>
      </c>
      <c r="J23" s="2">
        <v>8.3333333333333315E-2</v>
      </c>
      <c r="K23" t="s">
        <v>43</v>
      </c>
      <c r="L23" t="s">
        <v>17</v>
      </c>
    </row>
    <row r="24" spans="4:12" x14ac:dyDescent="0.3">
      <c r="D24" t="s">
        <v>36</v>
      </c>
      <c r="E24" s="1">
        <v>45059</v>
      </c>
      <c r="F24" s="2">
        <v>0.45833333333333331</v>
      </c>
      <c r="G24" s="2">
        <v>0.54166666666666663</v>
      </c>
      <c r="H24" t="s">
        <v>18</v>
      </c>
      <c r="I24" t="s">
        <v>19</v>
      </c>
      <c r="J24" s="2">
        <v>8.3333333333333315E-2</v>
      </c>
      <c r="K24" t="s">
        <v>43</v>
      </c>
      <c r="L24" t="s">
        <v>17</v>
      </c>
    </row>
    <row r="25" spans="4:12" x14ac:dyDescent="0.3">
      <c r="D25" t="s">
        <v>36</v>
      </c>
      <c r="E25" s="1">
        <v>45059</v>
      </c>
      <c r="F25" s="2">
        <v>0.45833333333333331</v>
      </c>
      <c r="G25" s="2">
        <v>0.54166666666666663</v>
      </c>
      <c r="H25" t="s">
        <v>18</v>
      </c>
      <c r="I25" t="s">
        <v>8</v>
      </c>
      <c r="J25" s="2">
        <v>8.3333333333333315E-2</v>
      </c>
      <c r="K25" t="s">
        <v>43</v>
      </c>
      <c r="L25" t="s">
        <v>17</v>
      </c>
    </row>
    <row r="26" spans="4:12" x14ac:dyDescent="0.3">
      <c r="D26" t="s">
        <v>36</v>
      </c>
      <c r="E26" s="1">
        <v>45059</v>
      </c>
      <c r="F26" s="2">
        <v>0.45833333333333331</v>
      </c>
      <c r="G26" s="2">
        <v>0.54166666666666663</v>
      </c>
      <c r="H26" t="s">
        <v>18</v>
      </c>
      <c r="I26" t="s">
        <v>8</v>
      </c>
      <c r="J26" s="2">
        <v>8.3333333333333315E-2</v>
      </c>
      <c r="K26" t="s">
        <v>43</v>
      </c>
      <c r="L26" t="s">
        <v>17</v>
      </c>
    </row>
    <row r="27" spans="4:12" x14ac:dyDescent="0.3">
      <c r="D27" t="s">
        <v>37</v>
      </c>
      <c r="E27" s="1">
        <v>45059</v>
      </c>
      <c r="F27" s="2">
        <v>0.45833333333333331</v>
      </c>
      <c r="G27" s="2">
        <v>0.54166666666666663</v>
      </c>
      <c r="H27" t="s">
        <v>18</v>
      </c>
      <c r="I27" t="s">
        <v>8</v>
      </c>
      <c r="J27" s="2">
        <v>8.3333333333333315E-2</v>
      </c>
      <c r="K27" t="s">
        <v>43</v>
      </c>
      <c r="L27" t="s">
        <v>17</v>
      </c>
    </row>
    <row r="28" spans="4:12" x14ac:dyDescent="0.3">
      <c r="D28" t="s">
        <v>37</v>
      </c>
      <c r="E28" s="1">
        <v>45059</v>
      </c>
      <c r="F28" s="2">
        <v>0.45833333333333331</v>
      </c>
      <c r="G28" s="2">
        <v>0.54166666666666663</v>
      </c>
      <c r="H28" t="s">
        <v>18</v>
      </c>
      <c r="I28" t="s">
        <v>8</v>
      </c>
      <c r="J28" s="2">
        <v>8.3333333333333315E-2</v>
      </c>
      <c r="K28" t="s">
        <v>43</v>
      </c>
      <c r="L28" t="s">
        <v>17</v>
      </c>
    </row>
    <row r="29" spans="4:12" x14ac:dyDescent="0.3">
      <c r="D29" t="s">
        <v>41</v>
      </c>
      <c r="E29" s="1">
        <v>45059</v>
      </c>
      <c r="F29" s="2">
        <v>0.45833333333333331</v>
      </c>
      <c r="G29" s="2">
        <v>0.54166666666666663</v>
      </c>
      <c r="H29" t="s">
        <v>18</v>
      </c>
      <c r="I29" t="s">
        <v>8</v>
      </c>
      <c r="J29" s="2">
        <v>8.3333333333333315E-2</v>
      </c>
      <c r="K29" t="s">
        <v>43</v>
      </c>
      <c r="L29" t="s">
        <v>16</v>
      </c>
    </row>
    <row r="30" spans="4:12" x14ac:dyDescent="0.3">
      <c r="D30" t="s">
        <v>41</v>
      </c>
      <c r="E30" s="1">
        <v>45059</v>
      </c>
      <c r="F30" s="2">
        <v>0.45833333333333331</v>
      </c>
      <c r="G30" s="2">
        <v>0.54166666666666663</v>
      </c>
      <c r="H30" t="s">
        <v>18</v>
      </c>
      <c r="I30" t="s">
        <v>8</v>
      </c>
      <c r="J30" s="2">
        <v>8.3333333333333315E-2</v>
      </c>
      <c r="K30" t="s">
        <v>43</v>
      </c>
      <c r="L30" t="s">
        <v>16</v>
      </c>
    </row>
    <row r="31" spans="4:12" x14ac:dyDescent="0.3">
      <c r="D31" t="s">
        <v>36</v>
      </c>
      <c r="E31" s="1">
        <v>45059</v>
      </c>
      <c r="F31" s="2">
        <v>0.45833333333333331</v>
      </c>
      <c r="G31" s="2">
        <v>0.54166666666666663</v>
      </c>
      <c r="H31" t="s">
        <v>18</v>
      </c>
      <c r="I31" t="s">
        <v>8</v>
      </c>
      <c r="J31" s="2">
        <v>8.3333333333333315E-2</v>
      </c>
      <c r="K31" t="s">
        <v>43</v>
      </c>
      <c r="L31" t="s">
        <v>16</v>
      </c>
    </row>
    <row r="32" spans="4:12" x14ac:dyDescent="0.3">
      <c r="D32" t="s">
        <v>36</v>
      </c>
      <c r="E32" s="1">
        <v>45059</v>
      </c>
      <c r="F32" s="2">
        <v>0.45833333333333331</v>
      </c>
      <c r="G32" s="2">
        <v>0.54166666666666663</v>
      </c>
      <c r="H32" t="s">
        <v>18</v>
      </c>
      <c r="I32" t="s">
        <v>8</v>
      </c>
      <c r="J32" s="2">
        <v>8.3333333333333315E-2</v>
      </c>
      <c r="K32" t="s">
        <v>43</v>
      </c>
      <c r="L32" t="s">
        <v>16</v>
      </c>
    </row>
    <row r="33" spans="4:12" x14ac:dyDescent="0.3">
      <c r="D33" t="s">
        <v>36</v>
      </c>
      <c r="E33" s="1">
        <v>45059</v>
      </c>
      <c r="F33" s="2">
        <v>0.45833333333333331</v>
      </c>
      <c r="G33" s="2">
        <v>0.54166666666666663</v>
      </c>
      <c r="H33" t="s">
        <v>18</v>
      </c>
      <c r="I33" t="s">
        <v>8</v>
      </c>
      <c r="J33" s="2">
        <v>8.3333333333333315E-2</v>
      </c>
      <c r="K33" t="s">
        <v>43</v>
      </c>
      <c r="L33" t="s">
        <v>16</v>
      </c>
    </row>
    <row r="34" spans="4:12" x14ac:dyDescent="0.3">
      <c r="D34" t="s">
        <v>36</v>
      </c>
      <c r="E34" s="1">
        <v>45059</v>
      </c>
      <c r="F34" s="2">
        <v>0.45833333333333331</v>
      </c>
      <c r="G34" s="2">
        <v>0.54166666666666663</v>
      </c>
      <c r="H34" t="s">
        <v>18</v>
      </c>
      <c r="I34" t="s">
        <v>9</v>
      </c>
      <c r="J34" s="2">
        <v>8.3333333333333315E-2</v>
      </c>
      <c r="K34" t="s">
        <v>43</v>
      </c>
      <c r="L34" t="s">
        <v>16</v>
      </c>
    </row>
    <row r="35" spans="4:12" x14ac:dyDescent="0.3">
      <c r="D35" t="s">
        <v>36</v>
      </c>
      <c r="E35" s="1">
        <v>45059</v>
      </c>
      <c r="F35" s="2">
        <v>0.45833333333333331</v>
      </c>
      <c r="G35" s="2">
        <v>0.54166666666666663</v>
      </c>
      <c r="H35" t="s">
        <v>18</v>
      </c>
      <c r="I35" t="s">
        <v>9</v>
      </c>
      <c r="J35" s="2">
        <v>8.3333333333333315E-2</v>
      </c>
      <c r="K35" t="s">
        <v>43</v>
      </c>
      <c r="L35" t="s">
        <v>16</v>
      </c>
    </row>
    <row r="36" spans="4:12" x14ac:dyDescent="0.3">
      <c r="D36" t="s">
        <v>36</v>
      </c>
      <c r="E36" s="1">
        <v>45059</v>
      </c>
      <c r="F36" s="2">
        <v>0.45833333333333331</v>
      </c>
      <c r="G36" s="2">
        <v>0.54166666666666663</v>
      </c>
      <c r="H36" t="s">
        <v>18</v>
      </c>
      <c r="I36" t="s">
        <v>19</v>
      </c>
      <c r="J36" s="2">
        <v>8.3333333333333315E-2</v>
      </c>
      <c r="K36" t="s">
        <v>43</v>
      </c>
      <c r="L36" t="s">
        <v>16</v>
      </c>
    </row>
    <row r="37" spans="4:12" x14ac:dyDescent="0.3">
      <c r="D37" t="s">
        <v>36</v>
      </c>
      <c r="E37" s="1">
        <v>45059</v>
      </c>
      <c r="F37" s="2">
        <v>0.45833333333333331</v>
      </c>
      <c r="G37" s="2">
        <v>0.54166666666666663</v>
      </c>
      <c r="H37" t="s">
        <v>18</v>
      </c>
      <c r="I37" t="s">
        <v>19</v>
      </c>
      <c r="J37" s="2">
        <v>8.3333333333333315E-2</v>
      </c>
      <c r="K37" t="s">
        <v>43</v>
      </c>
      <c r="L37" t="s">
        <v>16</v>
      </c>
    </row>
    <row r="38" spans="4:12" x14ac:dyDescent="0.3">
      <c r="D38" t="s">
        <v>36</v>
      </c>
      <c r="E38" s="1">
        <v>45059</v>
      </c>
      <c r="F38" s="2">
        <v>0.45833333333333331</v>
      </c>
      <c r="G38" s="2">
        <v>0.54166666666666663</v>
      </c>
      <c r="H38" t="s">
        <v>18</v>
      </c>
      <c r="I38" t="s">
        <v>19</v>
      </c>
      <c r="J38" s="2">
        <v>8.3333333333333315E-2</v>
      </c>
      <c r="K38" t="s">
        <v>43</v>
      </c>
      <c r="L38" t="s">
        <v>16</v>
      </c>
    </row>
    <row r="39" spans="4:12" x14ac:dyDescent="0.3">
      <c r="D39" t="s">
        <v>37</v>
      </c>
      <c r="E39" s="1">
        <v>45059</v>
      </c>
      <c r="F39" s="2">
        <v>0.45833333333333331</v>
      </c>
      <c r="G39" s="2">
        <v>0.54166666666666663</v>
      </c>
      <c r="H39" t="s">
        <v>18</v>
      </c>
      <c r="I39" t="s">
        <v>21</v>
      </c>
      <c r="J39" s="2">
        <v>8.3333333333333315E-2</v>
      </c>
      <c r="K39" t="s">
        <v>43</v>
      </c>
      <c r="L39" t="s">
        <v>16</v>
      </c>
    </row>
    <row r="40" spans="4:12" x14ac:dyDescent="0.3">
      <c r="D40" t="s">
        <v>37</v>
      </c>
      <c r="E40" s="1">
        <v>45059</v>
      </c>
      <c r="F40" s="2">
        <v>0.45833333333333331</v>
      </c>
      <c r="G40" s="2">
        <v>0.54166666666666663</v>
      </c>
      <c r="H40" t="s">
        <v>18</v>
      </c>
      <c r="I40" t="s">
        <v>21</v>
      </c>
      <c r="J40" s="2">
        <v>8.3333333333333315E-2</v>
      </c>
      <c r="K40" t="s">
        <v>43</v>
      </c>
      <c r="L40" t="s">
        <v>16</v>
      </c>
    </row>
    <row r="41" spans="4:12" x14ac:dyDescent="0.3">
      <c r="D41" t="s">
        <v>37</v>
      </c>
      <c r="E41" s="1">
        <v>45059</v>
      </c>
      <c r="F41" s="2">
        <v>0.45833333333333331</v>
      </c>
      <c r="G41" s="2">
        <v>0.54166666666666663</v>
      </c>
      <c r="H41" t="s">
        <v>18</v>
      </c>
      <c r="I41" t="s">
        <v>21</v>
      </c>
      <c r="J41" s="2">
        <v>8.3333333333333315E-2</v>
      </c>
      <c r="K41" t="s">
        <v>43</v>
      </c>
      <c r="L41" t="s">
        <v>16</v>
      </c>
    </row>
    <row r="42" spans="4:12" x14ac:dyDescent="0.3">
      <c r="D42" t="s">
        <v>40</v>
      </c>
      <c r="E42" s="1">
        <v>45059</v>
      </c>
      <c r="F42" s="2">
        <v>0.45833333333333331</v>
      </c>
      <c r="G42" s="2">
        <v>0.54166666666666663</v>
      </c>
      <c r="H42" t="s">
        <v>18</v>
      </c>
      <c r="I42" t="s">
        <v>21</v>
      </c>
      <c r="J42" s="2">
        <v>8.3333333333333315E-2</v>
      </c>
      <c r="K42" t="s">
        <v>44</v>
      </c>
      <c r="L42" t="s">
        <v>17</v>
      </c>
    </row>
    <row r="43" spans="4:12" x14ac:dyDescent="0.3">
      <c r="D43" t="s">
        <v>40</v>
      </c>
      <c r="E43" s="1">
        <v>45059</v>
      </c>
      <c r="F43" s="2">
        <v>0.45833333333333331</v>
      </c>
      <c r="G43" s="2">
        <v>0.54166666666666663</v>
      </c>
      <c r="H43" t="s">
        <v>18</v>
      </c>
      <c r="I43" t="s">
        <v>21</v>
      </c>
      <c r="J43" s="2">
        <v>8.3333333333333315E-2</v>
      </c>
      <c r="K43" t="s">
        <v>44</v>
      </c>
      <c r="L43" t="s">
        <v>17</v>
      </c>
    </row>
    <row r="44" spans="4:12" x14ac:dyDescent="0.3">
      <c r="D44" t="s">
        <v>42</v>
      </c>
      <c r="E44" s="1">
        <v>45059</v>
      </c>
      <c r="F44" s="2">
        <v>0.45833333333333331</v>
      </c>
      <c r="G44" s="2">
        <v>0.54166666666666663</v>
      </c>
      <c r="H44" t="s">
        <v>18</v>
      </c>
      <c r="I44" t="s">
        <v>21</v>
      </c>
      <c r="J44" s="2">
        <v>8.3333333333333315E-2</v>
      </c>
      <c r="K44" t="s">
        <v>44</v>
      </c>
      <c r="L44" t="s">
        <v>17</v>
      </c>
    </row>
    <row r="45" spans="4:12" x14ac:dyDescent="0.3">
      <c r="D45" t="s">
        <v>42</v>
      </c>
      <c r="E45" s="1">
        <v>45059</v>
      </c>
      <c r="F45" s="2">
        <v>0.45833333333333331</v>
      </c>
      <c r="G45" s="2">
        <v>0.54166666666666663</v>
      </c>
      <c r="H45" t="s">
        <v>18</v>
      </c>
      <c r="I45" t="s">
        <v>21</v>
      </c>
      <c r="J45" s="2">
        <v>8.3333333333333315E-2</v>
      </c>
      <c r="K45" t="s">
        <v>44</v>
      </c>
      <c r="L45" t="s">
        <v>17</v>
      </c>
    </row>
    <row r="46" spans="4:12" x14ac:dyDescent="0.3">
      <c r="D46" t="s">
        <v>39</v>
      </c>
      <c r="E46" s="1">
        <v>45059</v>
      </c>
      <c r="F46" s="2">
        <v>0.45833333333333331</v>
      </c>
      <c r="G46" s="2">
        <v>0.54166666666666663</v>
      </c>
      <c r="H46" t="s">
        <v>18</v>
      </c>
      <c r="I46" t="s">
        <v>7</v>
      </c>
      <c r="J46" s="2">
        <v>8.3333333333333315E-2</v>
      </c>
      <c r="K46" t="s">
        <v>44</v>
      </c>
      <c r="L46" t="s">
        <v>17</v>
      </c>
    </row>
    <row r="47" spans="4:12" x14ac:dyDescent="0.3">
      <c r="D47" t="s">
        <v>39</v>
      </c>
      <c r="E47" s="1">
        <v>45059</v>
      </c>
      <c r="F47" s="2">
        <v>0.45833333333333331</v>
      </c>
      <c r="G47" s="2">
        <v>0.54166666666666663</v>
      </c>
      <c r="H47" t="s">
        <v>18</v>
      </c>
      <c r="I47" t="s">
        <v>7</v>
      </c>
      <c r="J47" s="2">
        <v>8.3333333333333315E-2</v>
      </c>
      <c r="K47" t="s">
        <v>44</v>
      </c>
      <c r="L47" t="s">
        <v>17</v>
      </c>
    </row>
    <row r="48" spans="4:12" x14ac:dyDescent="0.3">
      <c r="D48" t="s">
        <v>40</v>
      </c>
      <c r="E48" s="1">
        <v>45059</v>
      </c>
      <c r="F48" s="2">
        <v>0.45833333333333331</v>
      </c>
      <c r="G48" s="2">
        <v>0.54166666666666663</v>
      </c>
      <c r="H48" t="s">
        <v>18</v>
      </c>
      <c r="I48" t="s">
        <v>7</v>
      </c>
      <c r="J48" s="2">
        <v>8.3333333333333315E-2</v>
      </c>
      <c r="K48" t="s">
        <v>44</v>
      </c>
      <c r="L48" t="s">
        <v>17</v>
      </c>
    </row>
    <row r="49" spans="4:12" x14ac:dyDescent="0.3">
      <c r="D49" t="s">
        <v>40</v>
      </c>
      <c r="E49" s="1">
        <v>45059</v>
      </c>
      <c r="F49" s="2">
        <v>0.45833333333333331</v>
      </c>
      <c r="G49" s="2">
        <v>0.54166666666666663</v>
      </c>
      <c r="H49" t="s">
        <v>18</v>
      </c>
      <c r="I49" t="s">
        <v>7</v>
      </c>
      <c r="J49" s="2">
        <v>8.3333333333333315E-2</v>
      </c>
      <c r="K49" t="s">
        <v>44</v>
      </c>
      <c r="L49" t="s">
        <v>17</v>
      </c>
    </row>
    <row r="50" spans="4:12" x14ac:dyDescent="0.3">
      <c r="D50" t="s">
        <v>40</v>
      </c>
      <c r="E50" s="1">
        <v>45059</v>
      </c>
      <c r="F50" s="2">
        <v>0.45833333333333331</v>
      </c>
      <c r="G50" s="2">
        <v>0.54166666666666663</v>
      </c>
      <c r="H50" t="s">
        <v>18</v>
      </c>
      <c r="I50" t="s">
        <v>7</v>
      </c>
      <c r="J50" s="2">
        <v>8.3333333333333315E-2</v>
      </c>
      <c r="K50" t="s">
        <v>44</v>
      </c>
      <c r="L50" t="s">
        <v>17</v>
      </c>
    </row>
    <row r="51" spans="4:12" x14ac:dyDescent="0.3">
      <c r="E51" s="1"/>
      <c r="F51" s="2"/>
      <c r="G51" s="2"/>
      <c r="J51" s="2"/>
    </row>
    <row r="52" spans="4:12" x14ac:dyDescent="0.3">
      <c r="E52" s="1"/>
      <c r="F52" s="2"/>
      <c r="G52" s="2"/>
      <c r="J52" s="2"/>
    </row>
    <row r="53" spans="4:12" x14ac:dyDescent="0.3">
      <c r="E53" s="1"/>
      <c r="F53" s="2"/>
      <c r="G53" s="2"/>
      <c r="J53" s="2"/>
    </row>
    <row r="54" spans="4:12" x14ac:dyDescent="0.3">
      <c r="E54" s="1"/>
      <c r="F54" s="2"/>
      <c r="G54" s="2"/>
      <c r="J54" s="2"/>
    </row>
    <row r="55" spans="4:12" x14ac:dyDescent="0.3">
      <c r="E55" s="1"/>
      <c r="F55" s="2"/>
      <c r="G55" s="2"/>
      <c r="J55" s="2"/>
    </row>
    <row r="56" spans="4:12" x14ac:dyDescent="0.3">
      <c r="E56" s="1"/>
      <c r="F56" s="2"/>
      <c r="G56" s="2"/>
      <c r="J56" s="2"/>
    </row>
    <row r="57" spans="4:12" x14ac:dyDescent="0.3">
      <c r="E57" s="1"/>
      <c r="F57" s="2"/>
      <c r="G57" s="2"/>
      <c r="J57" s="2"/>
    </row>
    <row r="58" spans="4:12" x14ac:dyDescent="0.3">
      <c r="E58" s="1"/>
      <c r="F58" s="2"/>
      <c r="G58" s="2"/>
      <c r="J58" s="2"/>
    </row>
    <row r="59" spans="4:12" x14ac:dyDescent="0.3">
      <c r="E59" s="1"/>
      <c r="F59" s="2"/>
      <c r="G59" s="2"/>
      <c r="J59" s="2"/>
    </row>
    <row r="60" spans="4:12" x14ac:dyDescent="0.3">
      <c r="E60" s="1"/>
      <c r="F60" s="2"/>
      <c r="G60" s="2"/>
      <c r="J60" s="2"/>
    </row>
    <row r="61" spans="4:12" x14ac:dyDescent="0.3">
      <c r="E61" s="1"/>
      <c r="F61" s="2"/>
      <c r="G61" s="2"/>
      <c r="J61" s="2"/>
    </row>
    <row r="62" spans="4:12" x14ac:dyDescent="0.3">
      <c r="E62" s="1"/>
      <c r="F62" s="2"/>
      <c r="G62" s="2"/>
      <c r="J62" s="2"/>
    </row>
    <row r="63" spans="4:12" x14ac:dyDescent="0.3">
      <c r="E63" s="1"/>
      <c r="F63" s="2"/>
      <c r="G63" s="2"/>
      <c r="J63" s="2"/>
    </row>
    <row r="64" spans="4:12" x14ac:dyDescent="0.3">
      <c r="E64" s="1"/>
      <c r="F64" s="2"/>
      <c r="G64" s="2"/>
      <c r="J64" s="2"/>
    </row>
    <row r="65" spans="5:10" x14ac:dyDescent="0.3">
      <c r="E65" s="1"/>
      <c r="F65" s="2"/>
      <c r="G65" s="2"/>
      <c r="J65" s="2"/>
    </row>
    <row r="66" spans="5:10" x14ac:dyDescent="0.3">
      <c r="E66" s="1"/>
      <c r="F66" s="2"/>
      <c r="G66" s="2"/>
      <c r="J66" s="2"/>
    </row>
    <row r="67" spans="5:10" x14ac:dyDescent="0.3">
      <c r="E67" s="1"/>
      <c r="F67" s="2"/>
      <c r="G67" s="2"/>
      <c r="J67" s="2"/>
    </row>
    <row r="68" spans="5:10" x14ac:dyDescent="0.3">
      <c r="E68" s="1"/>
      <c r="F68" s="2"/>
      <c r="G68" s="2"/>
      <c r="J68" s="2"/>
    </row>
    <row r="69" spans="5:10" x14ac:dyDescent="0.3">
      <c r="E69" s="1"/>
      <c r="F69" s="2"/>
      <c r="G69" s="2"/>
      <c r="J69" s="2"/>
    </row>
    <row r="70" spans="5:10" x14ac:dyDescent="0.3">
      <c r="E70" s="1"/>
      <c r="F70" s="2"/>
      <c r="G70" s="2"/>
      <c r="J70" s="2"/>
    </row>
    <row r="71" spans="5:10" x14ac:dyDescent="0.3">
      <c r="E71" s="1"/>
      <c r="F71" s="2"/>
      <c r="G71" s="2"/>
      <c r="J71" s="2"/>
    </row>
    <row r="72" spans="5:10" x14ac:dyDescent="0.3">
      <c r="E72" s="1"/>
      <c r="F72" s="2"/>
      <c r="G72" s="2"/>
      <c r="J72" s="2"/>
    </row>
    <row r="73" spans="5:10" x14ac:dyDescent="0.3">
      <c r="E73" s="1"/>
      <c r="F73" s="2"/>
      <c r="G73" s="2"/>
      <c r="J73" s="2"/>
    </row>
    <row r="74" spans="5:10" x14ac:dyDescent="0.3">
      <c r="E74" s="1"/>
      <c r="F74" s="2"/>
      <c r="G74" s="2"/>
      <c r="J74" s="2"/>
    </row>
    <row r="75" spans="5:10" x14ac:dyDescent="0.3">
      <c r="E75" s="1"/>
      <c r="F75" s="2"/>
      <c r="G75" s="2"/>
      <c r="J75" s="2"/>
    </row>
    <row r="76" spans="5:10" x14ac:dyDescent="0.3">
      <c r="E76" s="1"/>
      <c r="F76" s="2"/>
      <c r="G76" s="2"/>
      <c r="J76" s="2"/>
    </row>
    <row r="77" spans="5:10" x14ac:dyDescent="0.3">
      <c r="E77" s="1"/>
      <c r="F77" s="2"/>
      <c r="G77" s="2"/>
      <c r="J77" s="2"/>
    </row>
    <row r="78" spans="5:10" x14ac:dyDescent="0.3">
      <c r="E78" s="1"/>
      <c r="F78" s="2"/>
      <c r="G78" s="2"/>
      <c r="J78" s="2"/>
    </row>
    <row r="79" spans="5:10" x14ac:dyDescent="0.3">
      <c r="E79" s="1"/>
      <c r="F79" s="2"/>
      <c r="G79" s="2"/>
      <c r="J79" s="2"/>
    </row>
    <row r="80" spans="5:10" x14ac:dyDescent="0.3">
      <c r="E80" s="1"/>
      <c r="F80" s="2"/>
      <c r="G80" s="2"/>
      <c r="J80" s="2"/>
    </row>
    <row r="81" spans="5:10" x14ac:dyDescent="0.3">
      <c r="E81" s="1"/>
      <c r="F81" s="2"/>
      <c r="G81" s="2"/>
      <c r="J81" s="2"/>
    </row>
    <row r="82" spans="5:10" x14ac:dyDescent="0.3">
      <c r="E82" s="1"/>
      <c r="F82" s="2"/>
      <c r="G82" s="2"/>
      <c r="J82" s="2"/>
    </row>
    <row r="83" spans="5:10" x14ac:dyDescent="0.3">
      <c r="E83" s="1"/>
      <c r="F83" s="2"/>
      <c r="G83" s="2"/>
      <c r="J83" s="2"/>
    </row>
    <row r="84" spans="5:10" x14ac:dyDescent="0.3">
      <c r="E84" s="1"/>
      <c r="F84" s="2"/>
      <c r="G84" s="2"/>
      <c r="J84" s="2"/>
    </row>
    <row r="85" spans="5:10" x14ac:dyDescent="0.3">
      <c r="E85" s="1"/>
      <c r="F85" s="2"/>
      <c r="G85" s="2"/>
      <c r="J85" s="2"/>
    </row>
    <row r="86" spans="5:10" x14ac:dyDescent="0.3">
      <c r="E86" s="1"/>
      <c r="F86" s="2"/>
      <c r="G86" s="2"/>
      <c r="J86" s="2"/>
    </row>
    <row r="87" spans="5:10" x14ac:dyDescent="0.3">
      <c r="E87" s="1"/>
      <c r="F87" s="2"/>
      <c r="G87" s="2"/>
      <c r="J87" s="2"/>
    </row>
    <row r="88" spans="5:10" x14ac:dyDescent="0.3">
      <c r="E88" s="1"/>
      <c r="F88" s="2"/>
      <c r="G88" s="2"/>
      <c r="J88" s="2"/>
    </row>
    <row r="89" spans="5:10" x14ac:dyDescent="0.3">
      <c r="E89" s="1"/>
      <c r="F89" s="2"/>
      <c r="G89" s="2"/>
      <c r="J89" s="2"/>
    </row>
    <row r="90" spans="5:10" x14ac:dyDescent="0.3">
      <c r="E90" s="1"/>
      <c r="F90" s="2"/>
      <c r="G90" s="2"/>
      <c r="J90" s="2"/>
    </row>
    <row r="91" spans="5:10" x14ac:dyDescent="0.3">
      <c r="E91" s="1"/>
      <c r="F91" s="2"/>
      <c r="G91" s="2"/>
      <c r="J91" s="2"/>
    </row>
    <row r="92" spans="5:10" x14ac:dyDescent="0.3">
      <c r="E92" s="1"/>
      <c r="F92" s="2"/>
      <c r="G92" s="2"/>
      <c r="J92" s="2"/>
    </row>
    <row r="93" spans="5:10" x14ac:dyDescent="0.3">
      <c r="E93" s="1"/>
      <c r="F93" s="2"/>
      <c r="G93" s="2"/>
      <c r="J93" s="2"/>
    </row>
    <row r="94" spans="5:10" x14ac:dyDescent="0.3">
      <c r="E94" s="1"/>
      <c r="F94" s="2"/>
      <c r="G94" s="2"/>
      <c r="J94" s="2"/>
    </row>
    <row r="95" spans="5:10" x14ac:dyDescent="0.3">
      <c r="E95" s="1"/>
      <c r="F95" s="2"/>
      <c r="G95" s="2"/>
      <c r="J95" s="2"/>
    </row>
    <row r="96" spans="5:10" x14ac:dyDescent="0.3">
      <c r="E96" s="1"/>
      <c r="F96" s="2"/>
      <c r="G96" s="2"/>
      <c r="J96" s="2"/>
    </row>
    <row r="97" spans="5:10" x14ac:dyDescent="0.3">
      <c r="E97" s="1"/>
      <c r="F97" s="2"/>
      <c r="G97" s="2"/>
      <c r="J97" s="2"/>
    </row>
    <row r="98" spans="5:10" x14ac:dyDescent="0.3">
      <c r="E98" s="1"/>
      <c r="F98" s="2"/>
      <c r="G98" s="2"/>
      <c r="J98" s="2"/>
    </row>
    <row r="99" spans="5:10" x14ac:dyDescent="0.3">
      <c r="E99" s="1"/>
      <c r="F99" s="2"/>
      <c r="G99" s="2"/>
      <c r="J99" s="2"/>
    </row>
    <row r="100" spans="5:10" x14ac:dyDescent="0.3">
      <c r="E100" s="1"/>
      <c r="F100" s="2"/>
      <c r="G100" s="2"/>
      <c r="J100" s="2"/>
    </row>
    <row r="101" spans="5:10" x14ac:dyDescent="0.3">
      <c r="E101" s="1"/>
      <c r="F101" s="2"/>
      <c r="G101" s="2"/>
      <c r="J101" s="2"/>
    </row>
    <row r="102" spans="5:10" x14ac:dyDescent="0.3">
      <c r="E102" s="1"/>
      <c r="F102" s="2"/>
      <c r="G102" s="2"/>
      <c r="J102" s="2"/>
    </row>
    <row r="103" spans="5:10" x14ac:dyDescent="0.3">
      <c r="E103" s="1"/>
      <c r="F103" s="2"/>
      <c r="G103" s="2"/>
      <c r="J103" s="2"/>
    </row>
    <row r="104" spans="5:10" x14ac:dyDescent="0.3">
      <c r="E104" s="1"/>
      <c r="F104" s="2"/>
      <c r="G104" s="2"/>
      <c r="J104" s="2"/>
    </row>
    <row r="105" spans="5:10" x14ac:dyDescent="0.3">
      <c r="E105" s="1"/>
      <c r="F105" s="2"/>
      <c r="G105" s="2"/>
      <c r="J105" s="2"/>
    </row>
    <row r="106" spans="5:10" x14ac:dyDescent="0.3">
      <c r="E106" s="1"/>
      <c r="F106" s="2"/>
      <c r="G106" s="2"/>
      <c r="J106" s="2"/>
    </row>
    <row r="107" spans="5:10" x14ac:dyDescent="0.3">
      <c r="E107" s="1"/>
      <c r="F107" s="2"/>
      <c r="G107" s="2"/>
      <c r="J107" s="2"/>
    </row>
    <row r="108" spans="5:10" x14ac:dyDescent="0.3">
      <c r="E108" s="1"/>
      <c r="F108" s="2"/>
      <c r="G108" s="2"/>
      <c r="J108" s="2"/>
    </row>
    <row r="109" spans="5:10" x14ac:dyDescent="0.3">
      <c r="E109" s="1"/>
      <c r="F109" s="2"/>
      <c r="G109" s="2"/>
      <c r="J109" s="2"/>
    </row>
    <row r="110" spans="5:10" x14ac:dyDescent="0.3">
      <c r="E110" s="1"/>
      <c r="F110" s="2"/>
      <c r="G110" s="2"/>
      <c r="J110" s="2"/>
    </row>
    <row r="111" spans="5:10" x14ac:dyDescent="0.3">
      <c r="E111" s="1"/>
      <c r="F111" s="2"/>
      <c r="G111" s="2"/>
      <c r="J111" s="2"/>
    </row>
    <row r="112" spans="5:10" x14ac:dyDescent="0.3">
      <c r="E112" s="1"/>
      <c r="F112" s="2"/>
      <c r="G112" s="2"/>
      <c r="J112" s="2"/>
    </row>
    <row r="113" spans="5:10" x14ac:dyDescent="0.3">
      <c r="E113" s="1"/>
      <c r="F113" s="2"/>
      <c r="G113" s="2"/>
      <c r="J113" s="2"/>
    </row>
    <row r="114" spans="5:10" x14ac:dyDescent="0.3">
      <c r="E114" s="1"/>
      <c r="F114" s="2"/>
      <c r="G114" s="2"/>
      <c r="J114" s="2"/>
    </row>
    <row r="115" spans="5:10" x14ac:dyDescent="0.3">
      <c r="E115" s="1"/>
      <c r="F115" s="2"/>
      <c r="G115" s="2"/>
      <c r="J115" s="2"/>
    </row>
    <row r="116" spans="5:10" x14ac:dyDescent="0.3">
      <c r="E116" s="1"/>
      <c r="F116" s="2"/>
      <c r="G116" s="2"/>
      <c r="J116" s="2"/>
    </row>
    <row r="117" spans="5:10" x14ac:dyDescent="0.3">
      <c r="E117" s="1"/>
      <c r="F117" s="2"/>
      <c r="G117" s="2"/>
      <c r="J117" s="2"/>
    </row>
    <row r="118" spans="5:10" x14ac:dyDescent="0.3">
      <c r="E118" s="1"/>
      <c r="F118" s="2"/>
      <c r="G118" s="2"/>
      <c r="J118" s="2"/>
    </row>
    <row r="119" spans="5:10" x14ac:dyDescent="0.3">
      <c r="E119" s="1"/>
      <c r="F119" s="2"/>
      <c r="G119" s="2"/>
      <c r="J119" s="2"/>
    </row>
    <row r="120" spans="5:10" x14ac:dyDescent="0.3">
      <c r="E120" s="1"/>
      <c r="F120" s="2"/>
      <c r="G120" s="2"/>
      <c r="J120" s="2"/>
    </row>
    <row r="121" spans="5:10" x14ac:dyDescent="0.3">
      <c r="E121" s="1"/>
      <c r="F121" s="2"/>
      <c r="G121" s="2"/>
      <c r="J121" s="2"/>
    </row>
    <row r="122" spans="5:10" x14ac:dyDescent="0.3">
      <c r="E122" s="1"/>
      <c r="F122" s="2"/>
      <c r="G122" s="2"/>
      <c r="J122" s="2"/>
    </row>
    <row r="123" spans="5:10" x14ac:dyDescent="0.3">
      <c r="E123" s="1"/>
      <c r="F123" s="2"/>
      <c r="G123" s="2"/>
      <c r="J123" s="2"/>
    </row>
    <row r="124" spans="5:10" x14ac:dyDescent="0.3">
      <c r="E124" s="1"/>
      <c r="F124" s="2"/>
      <c r="G124" s="2"/>
      <c r="J124" s="2"/>
    </row>
    <row r="125" spans="5:10" x14ac:dyDescent="0.3">
      <c r="E125" s="1"/>
      <c r="F125" s="2"/>
      <c r="G125" s="2"/>
      <c r="J125" s="2"/>
    </row>
    <row r="126" spans="5:10" x14ac:dyDescent="0.3">
      <c r="E126" s="1"/>
      <c r="F126" s="2"/>
      <c r="G126" s="2"/>
      <c r="J126" s="2"/>
    </row>
    <row r="127" spans="5:10" x14ac:dyDescent="0.3">
      <c r="E127" s="1"/>
      <c r="F127" s="2"/>
      <c r="G127" s="2"/>
      <c r="J127" s="2"/>
    </row>
    <row r="128" spans="5:10" x14ac:dyDescent="0.3">
      <c r="E128" s="1"/>
      <c r="F128" s="2"/>
      <c r="G128" s="2"/>
      <c r="J128" s="2"/>
    </row>
    <row r="129" spans="5:10" x14ac:dyDescent="0.3">
      <c r="E129" s="1"/>
      <c r="F129" s="2"/>
      <c r="G129" s="2"/>
      <c r="J129" s="2"/>
    </row>
    <row r="130" spans="5:10" x14ac:dyDescent="0.3">
      <c r="E130" s="1"/>
      <c r="F130" s="2"/>
      <c r="G130" s="2"/>
      <c r="J130" s="2"/>
    </row>
    <row r="131" spans="5:10" x14ac:dyDescent="0.3">
      <c r="E131" s="1"/>
      <c r="F131" s="2"/>
      <c r="G131" s="2"/>
      <c r="J131" s="2"/>
    </row>
    <row r="132" spans="5:10" x14ac:dyDescent="0.3">
      <c r="E132" s="1"/>
      <c r="F132" s="2"/>
      <c r="G132" s="2"/>
      <c r="J132" s="2"/>
    </row>
    <row r="133" spans="5:10" x14ac:dyDescent="0.3">
      <c r="E133" s="1"/>
      <c r="F133" s="2"/>
      <c r="G133" s="2"/>
      <c r="J133" s="2"/>
    </row>
    <row r="134" spans="5:10" x14ac:dyDescent="0.3">
      <c r="E134" s="1"/>
      <c r="F134" s="2"/>
      <c r="G134" s="2"/>
      <c r="J134" s="2"/>
    </row>
    <row r="135" spans="5:10" x14ac:dyDescent="0.3">
      <c r="E135" s="1"/>
      <c r="F135" s="2"/>
      <c r="G135" s="2"/>
      <c r="J135" s="2"/>
    </row>
    <row r="136" spans="5:10" x14ac:dyDescent="0.3">
      <c r="E136" s="1"/>
      <c r="F136" s="2"/>
      <c r="G136" s="2"/>
      <c r="J136" s="2"/>
    </row>
    <row r="137" spans="5:10" x14ac:dyDescent="0.3">
      <c r="E137" s="1"/>
      <c r="F137" s="2"/>
      <c r="G137" s="2"/>
      <c r="J137" s="2"/>
    </row>
    <row r="138" spans="5:10" x14ac:dyDescent="0.3">
      <c r="E138" s="1"/>
      <c r="F138" s="2"/>
      <c r="G138" s="2"/>
      <c r="J138" s="2"/>
    </row>
    <row r="139" spans="5:10" x14ac:dyDescent="0.3">
      <c r="E139" s="1"/>
      <c r="F139" s="2"/>
      <c r="G139" s="2"/>
      <c r="J139" s="2"/>
    </row>
    <row r="140" spans="5:10" x14ac:dyDescent="0.3">
      <c r="E140" s="1"/>
      <c r="F140" s="2"/>
      <c r="G140" s="2"/>
      <c r="J140" s="2"/>
    </row>
    <row r="141" spans="5:10" x14ac:dyDescent="0.3">
      <c r="E141" s="1"/>
      <c r="F141" s="2"/>
      <c r="G141" s="2"/>
      <c r="J141" s="2"/>
    </row>
    <row r="142" spans="5:10" x14ac:dyDescent="0.3">
      <c r="E142" s="1"/>
      <c r="F142" s="2"/>
      <c r="G142" s="2"/>
      <c r="J142" s="2"/>
    </row>
    <row r="143" spans="5:10" x14ac:dyDescent="0.3">
      <c r="E143" s="1"/>
      <c r="F143" s="2"/>
      <c r="G143" s="2"/>
      <c r="J143" s="2"/>
    </row>
    <row r="144" spans="5:10" x14ac:dyDescent="0.3">
      <c r="E144" s="1"/>
      <c r="F144" s="2"/>
      <c r="G144" s="2"/>
      <c r="J144" s="2"/>
    </row>
    <row r="145" spans="5:10" x14ac:dyDescent="0.3">
      <c r="E145" s="1"/>
      <c r="F145" s="2"/>
      <c r="G145" s="2"/>
      <c r="J145" s="2"/>
    </row>
    <row r="146" spans="5:10" x14ac:dyDescent="0.3">
      <c r="E146" s="1"/>
      <c r="F146" s="2"/>
      <c r="G146" s="2"/>
      <c r="J146" s="2"/>
    </row>
    <row r="147" spans="5:10" x14ac:dyDescent="0.3">
      <c r="E147" s="1"/>
      <c r="F147" s="2"/>
      <c r="G147" s="2"/>
      <c r="J147" s="2"/>
    </row>
    <row r="148" spans="5:10" x14ac:dyDescent="0.3">
      <c r="E148" s="1"/>
      <c r="F148" s="2"/>
      <c r="G148" s="2"/>
      <c r="J148" s="2"/>
    </row>
    <row r="149" spans="5:10" x14ac:dyDescent="0.3">
      <c r="E149" s="1"/>
      <c r="F149" s="2"/>
      <c r="G149" s="2"/>
      <c r="J149" s="2"/>
    </row>
    <row r="150" spans="5:10" x14ac:dyDescent="0.3">
      <c r="E150" s="1"/>
      <c r="F150" s="2"/>
      <c r="G150" s="2"/>
      <c r="J150" s="2"/>
    </row>
    <row r="151" spans="5:10" x14ac:dyDescent="0.3">
      <c r="E151" s="1"/>
      <c r="F151" s="2"/>
      <c r="G151" s="2"/>
      <c r="J151" s="2"/>
    </row>
    <row r="152" spans="5:10" x14ac:dyDescent="0.3">
      <c r="E152" s="1"/>
      <c r="F152" s="2"/>
      <c r="G152" s="2"/>
      <c r="J152" s="2"/>
    </row>
    <row r="153" spans="5:10" x14ac:dyDescent="0.3">
      <c r="E153" s="1"/>
      <c r="F153" s="2"/>
      <c r="G153" s="2"/>
      <c r="J153" s="2"/>
    </row>
    <row r="154" spans="5:10" x14ac:dyDescent="0.3">
      <c r="E154" s="1"/>
      <c r="F154" s="2"/>
      <c r="G154" s="2"/>
      <c r="J154" s="2"/>
    </row>
    <row r="155" spans="5:10" x14ac:dyDescent="0.3">
      <c r="E155" s="1"/>
      <c r="F155" s="2"/>
      <c r="G155" s="2"/>
      <c r="J155" s="2"/>
    </row>
    <row r="156" spans="5:10" x14ac:dyDescent="0.3">
      <c r="E156" s="1"/>
      <c r="F156" s="2"/>
      <c r="G156" s="2"/>
      <c r="J156" s="2"/>
    </row>
    <row r="157" spans="5:10" x14ac:dyDescent="0.3">
      <c r="E157" s="1"/>
      <c r="F157" s="2"/>
      <c r="G157" s="2"/>
      <c r="J157" s="2"/>
    </row>
    <row r="158" spans="5:10" x14ac:dyDescent="0.3">
      <c r="E158" s="1"/>
      <c r="F158" s="2"/>
      <c r="G158" s="2"/>
      <c r="J158" s="2"/>
    </row>
    <row r="159" spans="5:10" x14ac:dyDescent="0.3">
      <c r="E159" s="1"/>
      <c r="F159" s="2"/>
      <c r="G159" s="2"/>
      <c r="J159" s="2"/>
    </row>
    <row r="160" spans="5:10" x14ac:dyDescent="0.3">
      <c r="E160" s="1"/>
      <c r="F160" s="2"/>
      <c r="G160" s="2"/>
      <c r="J160" s="2"/>
    </row>
    <row r="161" spans="5:10" x14ac:dyDescent="0.3">
      <c r="E161" s="1"/>
      <c r="F161" s="2"/>
      <c r="G161" s="2"/>
      <c r="J161" s="2"/>
    </row>
    <row r="162" spans="5:10" x14ac:dyDescent="0.3">
      <c r="E162" s="1"/>
      <c r="F162" s="2"/>
      <c r="G162" s="2"/>
      <c r="J162" s="2"/>
    </row>
    <row r="163" spans="5:10" x14ac:dyDescent="0.3">
      <c r="E163" s="1"/>
      <c r="F163" s="2"/>
      <c r="G163" s="2"/>
      <c r="J163" s="2"/>
    </row>
    <row r="164" spans="5:10" x14ac:dyDescent="0.3">
      <c r="E164" s="1"/>
      <c r="F164" s="2"/>
      <c r="G164" s="2"/>
      <c r="J164" s="2"/>
    </row>
    <row r="165" spans="5:10" x14ac:dyDescent="0.3">
      <c r="E165" s="1"/>
      <c r="F165" s="2"/>
      <c r="G165" s="2"/>
      <c r="J165" s="2"/>
    </row>
    <row r="166" spans="5:10" x14ac:dyDescent="0.3">
      <c r="E166" s="1"/>
      <c r="F166" s="2"/>
      <c r="G166" s="2"/>
      <c r="J166" s="2"/>
    </row>
    <row r="167" spans="5:10" x14ac:dyDescent="0.3">
      <c r="E167" s="1"/>
      <c r="F167" s="2"/>
      <c r="G167" s="2"/>
      <c r="J167" s="2"/>
    </row>
    <row r="168" spans="5:10" x14ac:dyDescent="0.3">
      <c r="E168" s="1"/>
      <c r="F168" s="2"/>
      <c r="G168" s="2"/>
      <c r="J168" s="2"/>
    </row>
    <row r="169" spans="5:10" x14ac:dyDescent="0.3">
      <c r="E169" s="1"/>
      <c r="F169" s="2"/>
      <c r="G169" s="2"/>
      <c r="J169" s="2"/>
    </row>
    <row r="170" spans="5:10" x14ac:dyDescent="0.3">
      <c r="E170" s="1"/>
      <c r="F170" s="2"/>
      <c r="G170" s="2"/>
      <c r="J170" s="2"/>
    </row>
    <row r="171" spans="5:10" x14ac:dyDescent="0.3">
      <c r="E171" s="1"/>
      <c r="F171" s="2"/>
      <c r="G171" s="2"/>
      <c r="J171" s="2"/>
    </row>
    <row r="172" spans="5:10" x14ac:dyDescent="0.3">
      <c r="E172" s="1"/>
      <c r="F172" s="2"/>
      <c r="G172" s="2"/>
      <c r="J172" s="2"/>
    </row>
    <row r="173" spans="5:10" x14ac:dyDescent="0.3">
      <c r="E173" s="1"/>
      <c r="F173" s="2"/>
      <c r="G173" s="2"/>
      <c r="J173" s="2"/>
    </row>
    <row r="174" spans="5:10" x14ac:dyDescent="0.3">
      <c r="E174" s="1"/>
      <c r="F174" s="2"/>
      <c r="G174" s="2"/>
      <c r="J174" s="2"/>
    </row>
    <row r="175" spans="5:10" x14ac:dyDescent="0.3">
      <c r="E175" s="1"/>
      <c r="F175" s="2"/>
      <c r="G175" s="2"/>
      <c r="J175" s="2"/>
    </row>
    <row r="176" spans="5:10" x14ac:dyDescent="0.3">
      <c r="E176" s="1"/>
      <c r="F176" s="2"/>
      <c r="G176" s="2"/>
      <c r="J176" s="2"/>
    </row>
    <row r="177" spans="5:10" x14ac:dyDescent="0.3">
      <c r="E177" s="1"/>
      <c r="F177" s="2"/>
      <c r="G177" s="2"/>
      <c r="J177" s="2"/>
    </row>
    <row r="178" spans="5:10" x14ac:dyDescent="0.3">
      <c r="E178" s="1"/>
      <c r="F178" s="2"/>
      <c r="G178" s="2"/>
      <c r="J178" s="2"/>
    </row>
    <row r="179" spans="5:10" x14ac:dyDescent="0.3">
      <c r="E179" s="1"/>
      <c r="F179" s="2"/>
      <c r="G179" s="2"/>
      <c r="J179" s="2"/>
    </row>
    <row r="180" spans="5:10" x14ac:dyDescent="0.3">
      <c r="E180" s="1"/>
      <c r="F180" s="2"/>
      <c r="G180" s="2"/>
      <c r="J180" s="2"/>
    </row>
    <row r="181" spans="5:10" x14ac:dyDescent="0.3">
      <c r="E181" s="1"/>
      <c r="F181" s="2"/>
      <c r="G181" s="2"/>
      <c r="J181" s="2"/>
    </row>
    <row r="182" spans="5:10" x14ac:dyDescent="0.3">
      <c r="E182" s="1"/>
      <c r="F182" s="2"/>
      <c r="G182" s="2"/>
      <c r="J182" s="2"/>
    </row>
    <row r="183" spans="5:10" x14ac:dyDescent="0.3">
      <c r="E183" s="1"/>
      <c r="F183" s="2"/>
      <c r="G183" s="2"/>
      <c r="J183" s="2"/>
    </row>
    <row r="184" spans="5:10" x14ac:dyDescent="0.3">
      <c r="E184" s="1"/>
      <c r="F184" s="2"/>
      <c r="G184" s="2"/>
      <c r="J184" s="2"/>
    </row>
    <row r="185" spans="5:10" x14ac:dyDescent="0.3">
      <c r="E185" s="1"/>
      <c r="F185" s="2"/>
      <c r="G185" s="2"/>
      <c r="J185" s="2"/>
    </row>
    <row r="186" spans="5:10" x14ac:dyDescent="0.3">
      <c r="E186" s="1"/>
      <c r="F186" s="2"/>
      <c r="G186" s="2"/>
      <c r="J186" s="2"/>
    </row>
    <row r="187" spans="5:10" x14ac:dyDescent="0.3">
      <c r="E187" s="1"/>
      <c r="F187" s="2"/>
      <c r="G187" s="2"/>
      <c r="J187" s="2"/>
    </row>
    <row r="188" spans="5:10" x14ac:dyDescent="0.3">
      <c r="E188" s="1"/>
      <c r="F188" s="2"/>
      <c r="G188" s="2"/>
      <c r="J188" s="2"/>
    </row>
    <row r="189" spans="5:10" x14ac:dyDescent="0.3">
      <c r="E189" s="1"/>
      <c r="F189" s="2"/>
      <c r="G189" s="2"/>
      <c r="J189" s="2"/>
    </row>
    <row r="190" spans="5:10" x14ac:dyDescent="0.3">
      <c r="E190" s="1"/>
      <c r="F190" s="2"/>
      <c r="G190" s="2"/>
      <c r="J190" s="2"/>
    </row>
    <row r="191" spans="5:10" x14ac:dyDescent="0.3">
      <c r="E191" s="1"/>
      <c r="F191" s="2"/>
      <c r="G191" s="2"/>
      <c r="J191" s="2"/>
    </row>
    <row r="192" spans="5:10" x14ac:dyDescent="0.3">
      <c r="E192" s="1"/>
      <c r="F192" s="2"/>
      <c r="G192" s="2"/>
      <c r="J192" s="2"/>
    </row>
    <row r="193" spans="5:10" x14ac:dyDescent="0.3">
      <c r="E193" s="1"/>
      <c r="F193" s="2"/>
      <c r="G193" s="2"/>
      <c r="J193" s="2"/>
    </row>
    <row r="194" spans="5:10" x14ac:dyDescent="0.3">
      <c r="E194" s="1"/>
      <c r="F194" s="2"/>
      <c r="G194" s="2"/>
      <c r="J194" s="2"/>
    </row>
    <row r="195" spans="5:10" x14ac:dyDescent="0.3">
      <c r="E195" s="1"/>
      <c r="F195" s="2"/>
      <c r="G195" s="2"/>
      <c r="J195" s="2"/>
    </row>
    <row r="196" spans="5:10" x14ac:dyDescent="0.3">
      <c r="E196" s="1"/>
      <c r="F196" s="2"/>
      <c r="G196" s="2"/>
      <c r="J196" s="2"/>
    </row>
    <row r="197" spans="5:10" x14ac:dyDescent="0.3">
      <c r="E197" s="1"/>
      <c r="F197" s="2"/>
      <c r="G197" s="2"/>
      <c r="J197" s="2"/>
    </row>
    <row r="198" spans="5:10" x14ac:dyDescent="0.3">
      <c r="E198" s="1"/>
      <c r="F198" s="2"/>
      <c r="G198" s="2"/>
      <c r="J198" s="2"/>
    </row>
    <row r="199" spans="5:10" x14ac:dyDescent="0.3">
      <c r="E199" s="1"/>
      <c r="F199" s="2"/>
      <c r="G199" s="2"/>
      <c r="J199" s="2"/>
    </row>
    <row r="200" spans="5:10" x14ac:dyDescent="0.3">
      <c r="E200" s="1"/>
      <c r="F200" s="2"/>
      <c r="G200" s="2"/>
      <c r="J200" s="2"/>
    </row>
    <row r="201" spans="5:10" x14ac:dyDescent="0.3">
      <c r="E201" s="1"/>
      <c r="F201" s="2"/>
      <c r="G201" s="2"/>
      <c r="J201" s="2"/>
    </row>
    <row r="202" spans="5:10" x14ac:dyDescent="0.3">
      <c r="E202" s="1"/>
      <c r="F202" s="2"/>
      <c r="G202" s="2"/>
      <c r="J202" s="2"/>
    </row>
    <row r="203" spans="5:10" x14ac:dyDescent="0.3">
      <c r="E203" s="1"/>
      <c r="F203" s="2"/>
      <c r="G203" s="2"/>
      <c r="J203" s="2"/>
    </row>
    <row r="204" spans="5:10" x14ac:dyDescent="0.3">
      <c r="E204" s="1"/>
      <c r="F204" s="2"/>
      <c r="G204" s="2"/>
      <c r="J204" s="2"/>
    </row>
    <row r="205" spans="5:10" x14ac:dyDescent="0.3">
      <c r="E205" s="1"/>
      <c r="F205" s="2"/>
      <c r="G205" s="2"/>
      <c r="J205" s="2"/>
    </row>
    <row r="206" spans="5:10" x14ac:dyDescent="0.3">
      <c r="E206" s="1"/>
      <c r="F206" s="2"/>
      <c r="G206" s="2"/>
      <c r="J206" s="2"/>
    </row>
    <row r="207" spans="5:10" x14ac:dyDescent="0.3">
      <c r="E207" s="1"/>
      <c r="F207" s="2"/>
      <c r="G207" s="2"/>
      <c r="J207" s="2"/>
    </row>
    <row r="208" spans="5:10" x14ac:dyDescent="0.3">
      <c r="E208" s="1"/>
      <c r="F208" s="2"/>
      <c r="G208" s="2"/>
      <c r="J208" s="2"/>
    </row>
    <row r="209" spans="5:10" x14ac:dyDescent="0.3">
      <c r="E209" s="1"/>
      <c r="F209" s="2"/>
      <c r="G209" s="2"/>
      <c r="J209" s="2"/>
    </row>
    <row r="210" spans="5:10" x14ac:dyDescent="0.3">
      <c r="E210" s="1"/>
      <c r="F210" s="2"/>
      <c r="G210" s="2"/>
      <c r="J210" s="2"/>
    </row>
    <row r="211" spans="5:10" x14ac:dyDescent="0.3">
      <c r="E211" s="1"/>
      <c r="F211" s="2"/>
      <c r="G211" s="2"/>
      <c r="J211" s="2"/>
    </row>
    <row r="212" spans="5:10" x14ac:dyDescent="0.3">
      <c r="E212" s="1"/>
      <c r="F212" s="2"/>
      <c r="G212" s="2"/>
      <c r="J212" s="2"/>
    </row>
    <row r="213" spans="5:10" x14ac:dyDescent="0.3">
      <c r="E213" s="1"/>
      <c r="F213" s="2"/>
      <c r="G213" s="2"/>
      <c r="J213" s="2"/>
    </row>
    <row r="214" spans="5:10" x14ac:dyDescent="0.3">
      <c r="E214" s="1"/>
      <c r="F214" s="2"/>
      <c r="G214" s="2"/>
      <c r="J214" s="2"/>
    </row>
    <row r="215" spans="5:10" x14ac:dyDescent="0.3">
      <c r="E215" s="1"/>
      <c r="F215" s="2"/>
      <c r="G215" s="2"/>
      <c r="J215" s="2"/>
    </row>
    <row r="216" spans="5:10" x14ac:dyDescent="0.3">
      <c r="E216" s="1"/>
      <c r="F216" s="2"/>
      <c r="G216" s="2"/>
      <c r="J216" s="2"/>
    </row>
    <row r="217" spans="5:10" x14ac:dyDescent="0.3">
      <c r="E217" s="1"/>
      <c r="F217" s="2"/>
      <c r="G217" s="2"/>
      <c r="J217" s="2"/>
    </row>
    <row r="218" spans="5:10" x14ac:dyDescent="0.3">
      <c r="E218" s="1"/>
      <c r="F218" s="2"/>
      <c r="G218" s="2"/>
      <c r="J218" s="2"/>
    </row>
    <row r="219" spans="5:10" x14ac:dyDescent="0.3">
      <c r="E219" s="1"/>
      <c r="F219" s="2"/>
      <c r="G219" s="2"/>
      <c r="J219" s="2"/>
    </row>
    <row r="220" spans="5:10" x14ac:dyDescent="0.3">
      <c r="E220" s="1"/>
      <c r="F220" s="2"/>
      <c r="G220" s="2"/>
      <c r="J220" s="2"/>
    </row>
    <row r="221" spans="5:10" x14ac:dyDescent="0.3">
      <c r="E221" s="1"/>
      <c r="F221" s="2"/>
      <c r="G221" s="2"/>
      <c r="J221" s="2"/>
    </row>
    <row r="222" spans="5:10" x14ac:dyDescent="0.3">
      <c r="E222" s="1"/>
      <c r="F222" s="2"/>
      <c r="G222" s="2"/>
      <c r="J222" s="2"/>
    </row>
    <row r="223" spans="5:10" x14ac:dyDescent="0.3">
      <c r="E223" s="1"/>
      <c r="F223" s="2"/>
      <c r="G223" s="2"/>
      <c r="J223" s="2"/>
    </row>
    <row r="224" spans="5:10" x14ac:dyDescent="0.3">
      <c r="E224" s="1"/>
      <c r="F224" s="2"/>
      <c r="G224" s="2"/>
      <c r="J224" s="2"/>
    </row>
    <row r="225" spans="5:10" x14ac:dyDescent="0.3">
      <c r="E225" s="1"/>
      <c r="F225" s="2"/>
      <c r="G225" s="2"/>
      <c r="J225" s="2"/>
    </row>
    <row r="226" spans="5:10" x14ac:dyDescent="0.3">
      <c r="E226" s="1"/>
      <c r="F226" s="2"/>
      <c r="G226" s="2"/>
      <c r="J226" s="2"/>
    </row>
    <row r="227" spans="5:10" x14ac:dyDescent="0.3">
      <c r="E227" s="1"/>
      <c r="F227" s="2"/>
      <c r="G227" s="2"/>
      <c r="J227" s="2"/>
    </row>
    <row r="228" spans="5:10" x14ac:dyDescent="0.3">
      <c r="E228" s="1"/>
      <c r="F228" s="2"/>
      <c r="G228" s="2"/>
      <c r="J228" s="2"/>
    </row>
    <row r="229" spans="5:10" x14ac:dyDescent="0.3">
      <c r="E229" s="1"/>
      <c r="F229" s="2"/>
      <c r="G229" s="2"/>
      <c r="J229" s="2"/>
    </row>
    <row r="230" spans="5:10" x14ac:dyDescent="0.3">
      <c r="E230" s="1"/>
      <c r="F230" s="2"/>
      <c r="G230" s="2"/>
      <c r="J230" s="2"/>
    </row>
    <row r="231" spans="5:10" x14ac:dyDescent="0.3">
      <c r="E231" s="1"/>
      <c r="F231" s="2"/>
      <c r="G231" s="2"/>
      <c r="J231" s="2"/>
    </row>
    <row r="232" spans="5:10" x14ac:dyDescent="0.3">
      <c r="E232" s="1"/>
      <c r="F232" s="2"/>
      <c r="G232" s="2"/>
      <c r="J232" s="2"/>
    </row>
    <row r="233" spans="5:10" x14ac:dyDescent="0.3">
      <c r="E233" s="1"/>
      <c r="F233" s="2"/>
      <c r="G233" s="2"/>
      <c r="J233" s="2"/>
    </row>
    <row r="234" spans="5:10" x14ac:dyDescent="0.3">
      <c r="E234" s="1"/>
      <c r="F234" s="2"/>
      <c r="G234" s="2"/>
      <c r="J234" s="2"/>
    </row>
    <row r="235" spans="5:10" x14ac:dyDescent="0.3">
      <c r="E235" s="1"/>
      <c r="F235" s="2"/>
      <c r="G235" s="2"/>
      <c r="J235" s="2"/>
    </row>
    <row r="236" spans="5:10" x14ac:dyDescent="0.3">
      <c r="E236" s="1"/>
      <c r="F236" s="2"/>
      <c r="G236" s="2"/>
      <c r="J236" s="2"/>
    </row>
    <row r="237" spans="5:10" x14ac:dyDescent="0.3">
      <c r="E237" s="1"/>
      <c r="F237" s="2"/>
      <c r="G237" s="2"/>
      <c r="J237" s="2"/>
    </row>
    <row r="238" spans="5:10" x14ac:dyDescent="0.3">
      <c r="E238" s="1"/>
      <c r="F238" s="2"/>
      <c r="G238" s="2"/>
      <c r="J238" s="2"/>
    </row>
    <row r="239" spans="5:10" x14ac:dyDescent="0.3">
      <c r="E239" s="1"/>
      <c r="F239" s="2"/>
      <c r="G239" s="2"/>
      <c r="J239" s="2"/>
    </row>
    <row r="240" spans="5:10" x14ac:dyDescent="0.3">
      <c r="E240" s="1"/>
      <c r="F240" s="2"/>
      <c r="G240" s="2"/>
      <c r="J240" s="2"/>
    </row>
    <row r="241" spans="5:10" x14ac:dyDescent="0.3">
      <c r="E241" s="1"/>
      <c r="F241" s="2"/>
      <c r="G241" s="2"/>
      <c r="J241" s="2"/>
    </row>
    <row r="242" spans="5:10" x14ac:dyDescent="0.3">
      <c r="E242" s="1"/>
      <c r="F242" s="2"/>
      <c r="G242" s="2"/>
      <c r="J242" s="2"/>
    </row>
    <row r="243" spans="5:10" x14ac:dyDescent="0.3">
      <c r="E243" s="1"/>
      <c r="F243" s="2"/>
      <c r="G243" s="2"/>
      <c r="J243" s="2"/>
    </row>
    <row r="244" spans="5:10" x14ac:dyDescent="0.3">
      <c r="E244" s="1"/>
      <c r="F244" s="2"/>
      <c r="G244" s="2"/>
      <c r="J244" s="2"/>
    </row>
    <row r="245" spans="5:10" x14ac:dyDescent="0.3">
      <c r="E245" s="1"/>
      <c r="F245" s="2"/>
      <c r="G245" s="2"/>
      <c r="J245" s="2"/>
    </row>
    <row r="246" spans="5:10" x14ac:dyDescent="0.3">
      <c r="E246" s="1"/>
      <c r="F246" s="2"/>
      <c r="G246" s="2"/>
      <c r="J246" s="2"/>
    </row>
    <row r="247" spans="5:10" x14ac:dyDescent="0.3">
      <c r="E247" s="1"/>
      <c r="F247" s="2"/>
      <c r="G247" s="2"/>
      <c r="J247" s="2"/>
    </row>
    <row r="248" spans="5:10" x14ac:dyDescent="0.3">
      <c r="E248" s="1"/>
      <c r="F248" s="2"/>
      <c r="G248" s="2"/>
      <c r="J248" s="2"/>
    </row>
    <row r="249" spans="5:10" x14ac:dyDescent="0.3">
      <c r="E249" s="1"/>
      <c r="F249" s="2"/>
      <c r="G249" s="2"/>
      <c r="J249" s="2"/>
    </row>
    <row r="250" spans="5:10" x14ac:dyDescent="0.3">
      <c r="E250" s="1"/>
      <c r="F250" s="2"/>
      <c r="G250" s="2"/>
      <c r="J250" s="2"/>
    </row>
    <row r="251" spans="5:10" x14ac:dyDescent="0.3">
      <c r="E251" s="1"/>
      <c r="F251" s="2"/>
      <c r="G251" s="2"/>
      <c r="J251" s="2"/>
    </row>
    <row r="252" spans="5:10" x14ac:dyDescent="0.3">
      <c r="E252" s="1"/>
      <c r="F252" s="2"/>
      <c r="G252" s="2"/>
      <c r="J252" s="2"/>
    </row>
    <row r="253" spans="5:10" x14ac:dyDescent="0.3">
      <c r="E253" s="1"/>
      <c r="F253" s="2"/>
      <c r="G253" s="2"/>
      <c r="J253" s="2"/>
    </row>
    <row r="254" spans="5:10" x14ac:dyDescent="0.3">
      <c r="E254" s="1"/>
      <c r="F254" s="2"/>
      <c r="G254" s="2"/>
      <c r="J254" s="2"/>
    </row>
    <row r="255" spans="5:10" x14ac:dyDescent="0.3">
      <c r="E255" s="1"/>
      <c r="F255" s="2"/>
      <c r="G255" s="2"/>
      <c r="J255" s="2"/>
    </row>
    <row r="256" spans="5:10" x14ac:dyDescent="0.3">
      <c r="E256" s="1"/>
      <c r="F256" s="2"/>
      <c r="G256" s="2"/>
      <c r="J256" s="2"/>
    </row>
    <row r="257" spans="5:10" x14ac:dyDescent="0.3">
      <c r="E257" s="1"/>
      <c r="F257" s="2"/>
      <c r="G257" s="2"/>
      <c r="J257" s="2"/>
    </row>
    <row r="258" spans="5:10" x14ac:dyDescent="0.3">
      <c r="E258" s="1"/>
      <c r="F258" s="2"/>
      <c r="G258" s="2"/>
      <c r="J258" s="2"/>
    </row>
    <row r="259" spans="5:10" x14ac:dyDescent="0.3">
      <c r="E259" s="1"/>
      <c r="F259" s="2"/>
      <c r="G259" s="2"/>
      <c r="J259" s="2"/>
    </row>
    <row r="260" spans="5:10" x14ac:dyDescent="0.3">
      <c r="E260" s="1"/>
      <c r="F260" s="2"/>
      <c r="G260" s="2"/>
      <c r="J260" s="2"/>
    </row>
    <row r="261" spans="5:10" x14ac:dyDescent="0.3">
      <c r="E261" s="1"/>
      <c r="F261" s="2"/>
      <c r="G261" s="2"/>
      <c r="J261" s="2"/>
    </row>
    <row r="262" spans="5:10" x14ac:dyDescent="0.3">
      <c r="E262" s="1"/>
      <c r="F262" s="2"/>
      <c r="G262" s="2"/>
      <c r="J262" s="2"/>
    </row>
    <row r="263" spans="5:10" x14ac:dyDescent="0.3">
      <c r="E263" s="1"/>
      <c r="F263" s="2"/>
      <c r="G263" s="2"/>
      <c r="J263" s="2"/>
    </row>
    <row r="264" spans="5:10" x14ac:dyDescent="0.3">
      <c r="E264" s="1"/>
      <c r="F264" s="2"/>
      <c r="G264" s="2"/>
      <c r="J264" s="2"/>
    </row>
    <row r="265" spans="5:10" x14ac:dyDescent="0.3">
      <c r="E265" s="1"/>
      <c r="F265" s="2"/>
      <c r="G265" s="2"/>
      <c r="J265" s="2"/>
    </row>
    <row r="266" spans="5:10" x14ac:dyDescent="0.3">
      <c r="E266" s="1"/>
      <c r="F266" s="2"/>
      <c r="G266" s="2"/>
      <c r="J266" s="2"/>
    </row>
    <row r="267" spans="5:10" x14ac:dyDescent="0.3">
      <c r="E267" s="1"/>
      <c r="F267" s="2"/>
      <c r="G267" s="2"/>
      <c r="J267" s="2"/>
    </row>
    <row r="268" spans="5:10" x14ac:dyDescent="0.3">
      <c r="E268" s="1"/>
      <c r="F268" s="2"/>
      <c r="G268" s="2"/>
      <c r="J268" s="2"/>
    </row>
    <row r="269" spans="5:10" x14ac:dyDescent="0.3">
      <c r="E269" s="1"/>
      <c r="F269" s="2"/>
      <c r="G269" s="2"/>
      <c r="J269" s="2"/>
    </row>
    <row r="270" spans="5:10" x14ac:dyDescent="0.3">
      <c r="E270" s="1"/>
      <c r="F270" s="2"/>
      <c r="G270" s="2"/>
      <c r="J270" s="2"/>
    </row>
    <row r="271" spans="5:10" x14ac:dyDescent="0.3">
      <c r="E271" s="1"/>
      <c r="F271" s="2"/>
      <c r="G271" s="2"/>
      <c r="J271" s="2"/>
    </row>
    <row r="272" spans="5:10" x14ac:dyDescent="0.3">
      <c r="E272" s="1"/>
      <c r="F272" s="2"/>
      <c r="G272" s="2"/>
      <c r="J272" s="2"/>
    </row>
    <row r="273" spans="5:10" x14ac:dyDescent="0.3">
      <c r="E273" s="1"/>
      <c r="F273" s="2"/>
      <c r="G273" s="2"/>
      <c r="J273" s="2"/>
    </row>
    <row r="274" spans="5:10" x14ac:dyDescent="0.3">
      <c r="E274" s="1"/>
      <c r="F274" s="2"/>
      <c r="G274" s="2"/>
      <c r="J274" s="2"/>
    </row>
    <row r="275" spans="5:10" x14ac:dyDescent="0.3">
      <c r="E275" s="1"/>
      <c r="F275" s="2"/>
      <c r="G275" s="2"/>
      <c r="J275" s="2"/>
    </row>
    <row r="276" spans="5:10" x14ac:dyDescent="0.3">
      <c r="E276" s="1"/>
      <c r="F276" s="2"/>
      <c r="G276" s="2"/>
      <c r="J276" s="2"/>
    </row>
    <row r="277" spans="5:10" x14ac:dyDescent="0.3">
      <c r="E277" s="1"/>
      <c r="F277" s="2"/>
      <c r="G277" s="2"/>
      <c r="J277" s="2"/>
    </row>
    <row r="278" spans="5:10" x14ac:dyDescent="0.3">
      <c r="E278" s="1"/>
      <c r="J278" s="2"/>
    </row>
    <row r="279" spans="5:10" x14ac:dyDescent="0.3">
      <c r="E279" s="1"/>
      <c r="J279" s="2"/>
    </row>
    <row r="280" spans="5:10" x14ac:dyDescent="0.3">
      <c r="E280" s="1"/>
      <c r="J280" s="2"/>
    </row>
    <row r="281" spans="5:10" x14ac:dyDescent="0.3">
      <c r="E281" s="1"/>
      <c r="J281" s="2"/>
    </row>
    <row r="282" spans="5:10" x14ac:dyDescent="0.3">
      <c r="E282" s="1"/>
      <c r="J282" s="2"/>
    </row>
    <row r="283" spans="5:10" x14ac:dyDescent="0.3">
      <c r="E283" s="1"/>
      <c r="J283" s="2"/>
    </row>
    <row r="284" spans="5:10" x14ac:dyDescent="0.3">
      <c r="E284" s="1"/>
      <c r="J284" s="2"/>
    </row>
    <row r="285" spans="5:10" x14ac:dyDescent="0.3">
      <c r="E285" s="1"/>
      <c r="J285" s="2"/>
    </row>
    <row r="286" spans="5:10" x14ac:dyDescent="0.3">
      <c r="E286" s="1"/>
      <c r="J286" s="2"/>
    </row>
    <row r="287" spans="5:10" x14ac:dyDescent="0.3">
      <c r="E287" s="1"/>
      <c r="J287" s="2"/>
    </row>
    <row r="288" spans="5:10" x14ac:dyDescent="0.3">
      <c r="J288" s="2"/>
    </row>
  </sheetData>
  <dataValidations count="4">
    <dataValidation type="list" allowBlank="1" showInputMessage="1" showErrorMessage="1" sqref="E5" xr:uid="{D61DC021-0C30-40C8-8367-5DD7EE87F83B}">
      <formula1>INDIRECT("tabPracownik")</formula1>
    </dataValidation>
    <dataValidation type="list" allowBlank="1" showInputMessage="1" showErrorMessage="1" sqref="E10 I15" xr:uid="{4F2EA7A0-1D28-4F8C-ABBE-BABB818B630F}">
      <formula1>INDIRECT("tabKlient")</formula1>
    </dataValidation>
    <dataValidation type="list" allowBlank="1" showInputMessage="1" showErrorMessage="1" sqref="E12" xr:uid="{944AEA17-FF10-4F42-82D3-4D264F073201}">
      <formula1>INDIRECT("tabFirma")</formula1>
    </dataValidation>
    <dataValidation type="list" allowBlank="1" showInputMessage="1" showErrorMessage="1" sqref="E4" xr:uid="{0124E214-74B9-4AD2-B3AB-FAA7693F217B}">
      <formula1>INDIRECT("tabmsc")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_Dodaj_Dane">
                <anchor moveWithCells="1" sizeWithCells="1">
                  <from>
                    <xdr:col>5</xdr:col>
                    <xdr:colOff>152400</xdr:colOff>
                    <xdr:row>8</xdr:row>
                    <xdr:rowOff>7620</xdr:rowOff>
                  </from>
                  <to>
                    <xdr:col>7</xdr:col>
                    <xdr:colOff>91440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yślij_Raport">
                <anchor moveWithCells="1" sizeWithCells="1">
                  <from>
                    <xdr:col>9</xdr:col>
                    <xdr:colOff>38100</xdr:colOff>
                    <xdr:row>1</xdr:row>
                    <xdr:rowOff>137160</xdr:rowOff>
                  </from>
                  <to>
                    <xdr:col>11</xdr:col>
                    <xdr:colOff>106680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ZakonczMSC">
                <anchor moveWithCells="1" sizeWithCells="1">
                  <from>
                    <xdr:col>9</xdr:col>
                    <xdr:colOff>53340</xdr:colOff>
                    <xdr:row>7</xdr:row>
                    <xdr:rowOff>38100</xdr:rowOff>
                  </from>
                  <to>
                    <xdr:col>11</xdr:col>
                    <xdr:colOff>563880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4D39D1-36E8-46A5-95B8-262676F0035B}">
          <x14:formula1>
            <xm:f>'Dane Bazowe'!$A$9:$A$10</xm:f>
          </x14:formula1>
          <xm:sqref>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B88FE-0A8F-4294-8B5B-E9D5E031F559}">
  <sheetPr codeName="Arkusz2"/>
  <dimension ref="D5:L5"/>
  <sheetViews>
    <sheetView workbookViewId="0">
      <selection activeCell="E11" sqref="E11"/>
    </sheetView>
  </sheetViews>
  <sheetFormatPr defaultRowHeight="14.4" x14ac:dyDescent="0.3"/>
  <cols>
    <col min="4" max="4" width="13.33203125" customWidth="1"/>
    <col min="5" max="5" width="12.44140625" customWidth="1"/>
    <col min="6" max="6" width="14" customWidth="1"/>
    <col min="7" max="7" width="15" customWidth="1"/>
    <col min="10" max="10" width="12.88671875" customWidth="1"/>
    <col min="12" max="12" width="16" customWidth="1"/>
  </cols>
  <sheetData>
    <row r="5" spans="4:12" x14ac:dyDescent="0.3">
      <c r="D5" s="5" t="s">
        <v>0</v>
      </c>
      <c r="E5" s="6" t="s">
        <v>1</v>
      </c>
      <c r="F5" s="6" t="s">
        <v>3</v>
      </c>
      <c r="G5" s="6" t="s">
        <v>4</v>
      </c>
      <c r="H5" s="6" t="s">
        <v>2</v>
      </c>
      <c r="I5" s="6" t="s">
        <v>5</v>
      </c>
      <c r="J5" s="7" t="s">
        <v>10</v>
      </c>
      <c r="K5" s="6" t="s">
        <v>6</v>
      </c>
      <c r="L5" s="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9E9E-9759-4FFC-9F80-67F80B16DACA}">
  <sheetPr codeName="Arkusz3"/>
  <dimension ref="A2:E26"/>
  <sheetViews>
    <sheetView workbookViewId="0">
      <selection activeCell="D14" sqref="D14"/>
    </sheetView>
  </sheetViews>
  <sheetFormatPr defaultRowHeight="14.4" x14ac:dyDescent="0.3"/>
  <cols>
    <col min="1" max="1" width="13" customWidth="1"/>
    <col min="2" max="2" width="66.21875" customWidth="1"/>
    <col min="3" max="3" width="17.6640625" customWidth="1"/>
    <col min="5" max="5" width="21.33203125" customWidth="1"/>
  </cols>
  <sheetData>
    <row r="2" spans="1:5" x14ac:dyDescent="0.3">
      <c r="A2" t="s">
        <v>11</v>
      </c>
      <c r="B2" t="str">
        <f>_xlfn.CONCAT('Zadania Użytkownika'!E5," ",B5)</f>
        <v>Tomasz Karolak maj</v>
      </c>
      <c r="C2" t="s">
        <v>0</v>
      </c>
      <c r="D2" t="s">
        <v>6</v>
      </c>
      <c r="E2" t="s">
        <v>5</v>
      </c>
    </row>
    <row r="3" spans="1:5" x14ac:dyDescent="0.3">
      <c r="A3" t="s">
        <v>12</v>
      </c>
      <c r="B3" t="str">
        <f>_xlfn.CONCAT("W załączeniu raport godzionowy dla ",'Zadania Użytkownika'!E5," za miesiąc ",B5)</f>
        <v>W załączeniu raport godzionowy dla Tomasz Karolak za miesiąc maj</v>
      </c>
      <c r="C3" t="s">
        <v>35</v>
      </c>
      <c r="D3" t="s">
        <v>43</v>
      </c>
      <c r="E3" t="s">
        <v>7</v>
      </c>
    </row>
    <row r="4" spans="1:5" x14ac:dyDescent="0.3">
      <c r="A4" t="s">
        <v>13</v>
      </c>
      <c r="B4" s="3" t="s">
        <v>38</v>
      </c>
      <c r="C4" t="s">
        <v>36</v>
      </c>
      <c r="D4" t="s">
        <v>44</v>
      </c>
      <c r="E4" t="s">
        <v>8</v>
      </c>
    </row>
    <row r="5" spans="1:5" x14ac:dyDescent="0.3">
      <c r="A5" t="s">
        <v>14</v>
      </c>
      <c r="B5" s="4" t="str">
        <f>TEXT('Zadania Użytkownika'!E4,"mmmm")</f>
        <v>maj</v>
      </c>
      <c r="C5" t="s">
        <v>37</v>
      </c>
      <c r="E5" t="s">
        <v>9</v>
      </c>
    </row>
    <row r="6" spans="1:5" x14ac:dyDescent="0.3">
      <c r="C6" t="s">
        <v>39</v>
      </c>
      <c r="E6" t="s">
        <v>19</v>
      </c>
    </row>
    <row r="7" spans="1:5" x14ac:dyDescent="0.3">
      <c r="C7" t="s">
        <v>40</v>
      </c>
      <c r="E7" t="s">
        <v>20</v>
      </c>
    </row>
    <row r="8" spans="1:5" x14ac:dyDescent="0.3">
      <c r="C8" t="s">
        <v>41</v>
      </c>
      <c r="E8" t="s">
        <v>21</v>
      </c>
    </row>
    <row r="9" spans="1:5" x14ac:dyDescent="0.3">
      <c r="A9" t="s">
        <v>16</v>
      </c>
      <c r="C9" t="s">
        <v>42</v>
      </c>
    </row>
    <row r="10" spans="1:5" x14ac:dyDescent="0.3">
      <c r="A10" t="s">
        <v>17</v>
      </c>
    </row>
    <row r="12" spans="1:5" ht="15" customHeight="1" x14ac:dyDescent="0.3"/>
    <row r="14" spans="1:5" x14ac:dyDescent="0.3">
      <c r="A14" t="s">
        <v>23</v>
      </c>
    </row>
    <row r="15" spans="1:5" x14ac:dyDescent="0.3">
      <c r="A15" t="str">
        <f>TEXT(1,"mmmm")</f>
        <v>styczeń</v>
      </c>
    </row>
    <row r="16" spans="1:5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33</v>
      </c>
    </row>
    <row r="26" spans="1:1" x14ac:dyDescent="0.3">
      <c r="A26" t="s">
        <v>34</v>
      </c>
    </row>
  </sheetData>
  <phoneticPr fontId="4" type="noConversion"/>
  <hyperlinks>
    <hyperlink ref="B4" r:id="rId1" xr:uid="{9CE24E4F-00FD-42AC-A773-CE30A28AFB0E}"/>
  </hyperlinks>
  <pageMargins left="0.7" right="0.7" top="0.75" bottom="0.75" header="0.3" footer="0.3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Zadania Użytkownika</vt:lpstr>
      <vt:lpstr>Poprzedni Miesiąc</vt:lpstr>
      <vt:lpstr>Dane Bazowe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Sparrow</dc:creator>
  <cp:lastModifiedBy>Jack Sparrow</cp:lastModifiedBy>
  <dcterms:created xsi:type="dcterms:W3CDTF">2015-06-05T18:19:34Z</dcterms:created>
  <dcterms:modified xsi:type="dcterms:W3CDTF">2023-05-13T12:33:46Z</dcterms:modified>
</cp:coreProperties>
</file>